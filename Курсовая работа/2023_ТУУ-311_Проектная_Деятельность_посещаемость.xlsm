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flash\Documents\SubjectProgrammingMethods\Курсовая работа\15 - Посещаемость занятий обучающимися\"/>
    </mc:Choice>
  </mc:AlternateContent>
  <bookViews>
    <workbookView xWindow="0" yWindow="0" windowWidth="11490" windowHeight="4635"/>
  </bookViews>
  <sheets>
    <sheet name="Посещаемость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A11" i="1" l="1"/>
  <c r="AA4" i="1" l="1"/>
  <c r="AA5" i="1"/>
  <c r="AA6" i="1"/>
  <c r="AA7" i="1"/>
  <c r="AA8" i="1"/>
  <c r="AA9" i="1"/>
  <c r="AA10" i="1"/>
  <c r="AA12" i="1"/>
  <c r="AA13" i="1"/>
  <c r="AA14" i="1"/>
  <c r="AA15" i="1"/>
  <c r="AA16" i="1"/>
  <c r="AA17" i="1"/>
  <c r="AA18" i="1"/>
  <c r="AA3" i="1"/>
  <c r="V23" i="1" l="1"/>
  <c r="W23" i="1"/>
  <c r="X23" i="1"/>
  <c r="U23" i="1" l="1"/>
  <c r="Q23" i="1"/>
  <c r="R23" i="1"/>
  <c r="S23" i="1"/>
  <c r="T23" i="1"/>
  <c r="O23" i="1" l="1"/>
  <c r="P23" i="1"/>
  <c r="N23" i="1" l="1"/>
  <c r="M23" i="1"/>
  <c r="C23" i="1" l="1"/>
  <c r="D23" i="1"/>
  <c r="E23" i="1"/>
  <c r="F23" i="1"/>
  <c r="G23" i="1"/>
  <c r="H23" i="1"/>
  <c r="I23" i="1"/>
  <c r="J23" i="1"/>
  <c r="K23" i="1"/>
  <c r="L23" i="1"/>
  <c r="AA23" i="1" l="1"/>
</calcChain>
</file>

<file path=xl/sharedStrings.xml><?xml version="1.0" encoding="utf-8"?>
<sst xmlns="http://schemas.openxmlformats.org/spreadsheetml/2006/main" count="375" uniqueCount="24">
  <si>
    <t>Кедяев Давид Юрьевич</t>
  </si>
  <si>
    <t>Дымченко Владимир Владимирович</t>
  </si>
  <si>
    <t>Романов Георгий Олегович</t>
  </si>
  <si>
    <t>Ефимов Иван Михайлович</t>
  </si>
  <si>
    <t>Ф.И.О.</t>
  </si>
  <si>
    <t>Маликов Артемий Денисович</t>
  </si>
  <si>
    <t>Манаков Денис Алексеевич</t>
  </si>
  <si>
    <t>Мисюра Владислав Сергеевич</t>
  </si>
  <si>
    <t>Белых Егор Александрович</t>
  </si>
  <si>
    <t>Кудряшов Кирилл Эдуардович</t>
  </si>
  <si>
    <t>н</t>
  </si>
  <si>
    <t>б</t>
  </si>
  <si>
    <t>Посещаемость</t>
  </si>
  <si>
    <t>artem_malikov_2015@bk.ru</t>
  </si>
  <si>
    <t>Ермолина Екатерина Алексеевна</t>
  </si>
  <si>
    <t>Заболотских Владимир Дмитриевич</t>
  </si>
  <si>
    <t>Иванов Василий Алексеевич</t>
  </si>
  <si>
    <t>Картавцев Роман Александрович</t>
  </si>
  <si>
    <t>Цырулина Анастасия Алексеевна</t>
  </si>
  <si>
    <t>Насуханов Тимур Алиевич</t>
  </si>
  <si>
    <t>№</t>
  </si>
  <si>
    <t>Козонов Давид Николаевич</t>
  </si>
  <si>
    <t>нб</t>
  </si>
  <si>
    <t>зачёт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</si>
</sst>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9">
    <xf numFmtId="0" fontId="0" fillId="0" borderId="0" xfId="0"/>
    <xf numFmtId="0" fontId="0" fillId="0" borderId="0" xfId="0" applyFill="1"/>
    <xf numFmtId="0" fontId="0" fillId="0" borderId="1" xfId="0" applyFill="1" applyBorder="1"/>
    <xf numFmtId="14" fontId="0" fillId="0" borderId="0" xfId="0" applyNumberFormat="1" applyFill="1"/>
    <xf numFmtId="0" fontId="2" fillId="0" borderId="1" xfId="0" applyFont="1" applyFill="1" applyBorder="1"/>
    <xf numFmtId="0" fontId="2" fillId="0" borderId="1" xfId="0" applyFont="1" applyFill="1" applyBorder="1" applyAlignment="1">
      <alignment horizontal="right"/>
    </xf>
    <xf numFmtId="14" fontId="2" fillId="0" borderId="1" xfId="0" applyNumberFormat="1" applyFont="1" applyFill="1" applyBorder="1"/>
    <xf numFmtId="0" fontId="2" fillId="0" borderId="0" xfId="0" applyFont="1" applyFill="1"/>
    <xf numFmtId="0" fontId="1" fillId="0" borderId="0" xfId="1" applyFill="1"/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artem_malikov_2015@bk.ru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AS31"/>
  <sheetViews>
    <sheetView tabSelected="1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Y22" sqref="Y22"/>
    </sheetView>
  </sheetViews>
  <sheetFormatPr defaultRowHeight="15" x14ac:dyDescent="0.25"/>
  <cols>
    <col min="1" max="1" width="3.28515625" bestFit="1" customWidth="1"/>
    <col min="2" max="2" width="35.28515625" bestFit="1" customWidth="1"/>
    <col min="3" max="6" width="10.140625" bestFit="1" customWidth="1"/>
    <col min="7" max="11" width="10.140625" customWidth="1"/>
    <col min="12" max="12" width="10.140625" bestFit="1" customWidth="1"/>
    <col min="13" max="25" width="10.140625" customWidth="1"/>
    <col min="27" max="27" width="14.5703125" bestFit="1" customWidth="1"/>
  </cols>
  <sheetData>
    <row r="1" spans="1:45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</row>
    <row r="2" spans="1:45" x14ac:dyDescent="0.25">
      <c r="A2" s="5" t="s">
        <v>20</v>
      </c>
      <c r="B2" s="4" t="s">
        <v>4</v>
      </c>
      <c r="C2" s="6">
        <v>45173</v>
      </c>
      <c r="D2" s="6">
        <v>45180</v>
      </c>
      <c r="E2" s="6">
        <v>45183</v>
      </c>
      <c r="F2" s="6">
        <v>45187</v>
      </c>
      <c r="G2" s="6">
        <v>45194</v>
      </c>
      <c r="H2" s="6">
        <v>45197</v>
      </c>
      <c r="I2" s="6">
        <v>45201</v>
      </c>
      <c r="J2" s="6">
        <v>45208</v>
      </c>
      <c r="K2" s="6">
        <v>45211</v>
      </c>
      <c r="L2" s="6">
        <v>45215</v>
      </c>
      <c r="M2" s="6">
        <v>45222</v>
      </c>
      <c r="N2" s="6">
        <v>45229</v>
      </c>
      <c r="O2" s="6">
        <v>45236</v>
      </c>
      <c r="P2" s="6">
        <v>45239</v>
      </c>
      <c r="Q2" s="6">
        <v>45243</v>
      </c>
      <c r="R2" s="6">
        <v>45250</v>
      </c>
      <c r="S2" s="6">
        <v>45253</v>
      </c>
      <c r="T2" s="6">
        <v>45257</v>
      </c>
      <c r="U2" s="6">
        <v>45264</v>
      </c>
      <c r="V2" s="6">
        <v>45267</v>
      </c>
      <c r="W2" s="6">
        <v>45271</v>
      </c>
      <c r="X2" s="6">
        <v>45278</v>
      </c>
      <c r="Y2" s="3"/>
      <c r="Z2" s="1"/>
      <c r="AA2" s="7" t="s">
        <v>12</v>
      </c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</row>
    <row r="3" spans="1:45" x14ac:dyDescent="0.25">
      <c r="A3" s="4">
        <v>1</v>
      </c>
      <c r="B3" s="4" t="s">
        <v>8</v>
      </c>
      <c r="C3" s="2" t="s">
        <v>11</v>
      </c>
      <c r="D3" s="2" t="s">
        <v>10</v>
      </c>
      <c r="E3" s="2" t="s">
        <v>11</v>
      </c>
      <c r="F3" s="2" t="s">
        <v>11</v>
      </c>
      <c r="G3" s="2" t="s">
        <v>10</v>
      </c>
      <c r="H3" s="2" t="s">
        <v>10</v>
      </c>
      <c r="I3" s="2" t="s">
        <v>10</v>
      </c>
      <c r="J3" s="2" t="s">
        <v>11</v>
      </c>
      <c r="K3" s="2" t="s">
        <v>11</v>
      </c>
      <c r="L3" s="2" t="s">
        <v>10</v>
      </c>
      <c r="M3" s="2" t="s">
        <v>22</v>
      </c>
      <c r="N3" s="2" t="s">
        <v>22</v>
      </c>
      <c r="O3" s="2" t="s">
        <v>10</v>
      </c>
      <c r="P3" s="2" t="s">
        <v>10</v>
      </c>
      <c r="Q3" s="2" t="s">
        <v>10</v>
      </c>
      <c r="R3" s="2" t="s">
        <v>11</v>
      </c>
      <c r="S3" s="2" t="s">
        <v>10</v>
      </c>
      <c r="T3" s="2" t="s">
        <v>10</v>
      </c>
      <c r="U3" s="2" t="s">
        <v>11</v>
      </c>
      <c r="V3" s="2" t="s">
        <v>10</v>
      </c>
      <c r="W3" s="2" t="s">
        <v>11</v>
      </c>
      <c r="X3" s="2" t="s">
        <v>10</v>
      </c>
      <c r="Y3" s="1"/>
      <c r="Z3" s="1"/>
      <c r="AA3" s="1">
        <f>COUNTIF(C3:X3, "б")</f>
        <v>8</v>
      </c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</row>
    <row r="4" spans="1:45" x14ac:dyDescent="0.25">
      <c r="A4" s="4">
        <v>2</v>
      </c>
      <c r="B4" s="4" t="s">
        <v>1</v>
      </c>
      <c r="C4" s="2" t="s">
        <v>11</v>
      </c>
      <c r="D4" s="2" t="s">
        <v>11</v>
      </c>
      <c r="E4" s="2" t="s">
        <v>11</v>
      </c>
      <c r="F4" s="2" t="s">
        <v>11</v>
      </c>
      <c r="G4" s="2" t="s">
        <v>11</v>
      </c>
      <c r="H4" s="2" t="s">
        <v>10</v>
      </c>
      <c r="I4" s="2" t="s">
        <v>10</v>
      </c>
      <c r="J4" s="2" t="s">
        <v>10</v>
      </c>
      <c r="K4" s="2" t="s">
        <v>10</v>
      </c>
      <c r="L4" s="2" t="s">
        <v>10</v>
      </c>
      <c r="M4" s="2" t="s">
        <v>10</v>
      </c>
      <c r="N4" s="2" t="s">
        <v>10</v>
      </c>
      <c r="O4" s="2" t="s">
        <v>10</v>
      </c>
      <c r="P4" s="2" t="s">
        <v>10</v>
      </c>
      <c r="Q4" s="2" t="s">
        <v>10</v>
      </c>
      <c r="R4" s="2" t="s">
        <v>10</v>
      </c>
      <c r="S4" s="2" t="s">
        <v>10</v>
      </c>
      <c r="T4" s="2" t="s">
        <v>10</v>
      </c>
      <c r="U4" s="2" t="s">
        <v>10</v>
      </c>
      <c r="V4" s="2" t="s">
        <v>10</v>
      </c>
      <c r="W4" s="2" t="s">
        <v>10</v>
      </c>
      <c r="X4" s="2" t="s">
        <v>10</v>
      </c>
      <c r="Y4" s="1"/>
      <c r="Z4" s="1"/>
      <c r="AA4" s="1">
        <f>COUNTIF(C4:X4, "б")</f>
        <v>5</v>
      </c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</row>
    <row r="5" spans="1:45" x14ac:dyDescent="0.25">
      <c r="A5" s="4">
        <v>3</v>
      </c>
      <c r="B5" s="4" t="s">
        <v>3</v>
      </c>
      <c r="C5" s="2" t="s">
        <v>11</v>
      </c>
      <c r="D5" s="2" t="s">
        <v>11</v>
      </c>
      <c r="E5" s="2" t="s">
        <v>11</v>
      </c>
      <c r="F5" s="2" t="s">
        <v>10</v>
      </c>
      <c r="G5" s="2" t="s">
        <v>10</v>
      </c>
      <c r="H5" s="2" t="s">
        <v>10</v>
      </c>
      <c r="I5" s="2" t="s">
        <v>11</v>
      </c>
      <c r="J5" s="2" t="s">
        <v>22</v>
      </c>
      <c r="K5" s="2" t="s">
        <v>11</v>
      </c>
      <c r="L5" s="2" t="s">
        <v>10</v>
      </c>
      <c r="M5" s="2" t="s">
        <v>10</v>
      </c>
      <c r="N5" s="2" t="s">
        <v>11</v>
      </c>
      <c r="O5" s="2" t="s">
        <v>11</v>
      </c>
      <c r="P5" s="2" t="s">
        <v>10</v>
      </c>
      <c r="Q5" s="2" t="s">
        <v>10</v>
      </c>
      <c r="R5" s="2" t="s">
        <v>11</v>
      </c>
      <c r="S5" s="2" t="s">
        <v>11</v>
      </c>
      <c r="T5" s="2" t="s">
        <v>11</v>
      </c>
      <c r="U5" s="2" t="s">
        <v>11</v>
      </c>
      <c r="V5" s="2" t="s">
        <v>11</v>
      </c>
      <c r="W5" s="2" t="s">
        <v>11</v>
      </c>
      <c r="X5" s="2" t="s">
        <v>11</v>
      </c>
      <c r="Y5" s="1"/>
      <c r="Z5" s="1"/>
      <c r="AA5" s="1">
        <f>COUNTIF(C5:X5, "б")</f>
        <v>14</v>
      </c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</row>
    <row r="6" spans="1:45" x14ac:dyDescent="0.25">
      <c r="A6" s="4">
        <v>4</v>
      </c>
      <c r="B6" s="4" t="s">
        <v>14</v>
      </c>
      <c r="C6" s="2" t="s">
        <v>11</v>
      </c>
      <c r="D6" s="2" t="s">
        <v>11</v>
      </c>
      <c r="E6" s="2" t="s">
        <v>11</v>
      </c>
      <c r="F6" s="2" t="s">
        <v>10</v>
      </c>
      <c r="G6" s="2" t="s">
        <v>11</v>
      </c>
      <c r="H6" s="2" t="s">
        <v>11</v>
      </c>
      <c r="I6" s="2" t="s">
        <v>10</v>
      </c>
      <c r="J6" s="2" t="s">
        <v>11</v>
      </c>
      <c r="K6" s="2" t="s">
        <v>11</v>
      </c>
      <c r="L6" s="2" t="s">
        <v>11</v>
      </c>
      <c r="M6" s="2" t="s">
        <v>10</v>
      </c>
      <c r="N6" s="2" t="s">
        <v>10</v>
      </c>
      <c r="O6" s="2" t="s">
        <v>10</v>
      </c>
      <c r="P6" s="2" t="s">
        <v>10</v>
      </c>
      <c r="Q6" s="2" t="s">
        <v>10</v>
      </c>
      <c r="R6" s="2" t="s">
        <v>11</v>
      </c>
      <c r="S6" s="2" t="s">
        <v>11</v>
      </c>
      <c r="T6" s="2" t="s">
        <v>10</v>
      </c>
      <c r="U6" s="2" t="s">
        <v>11</v>
      </c>
      <c r="V6" s="2" t="s">
        <v>11</v>
      </c>
      <c r="W6" s="2" t="s">
        <v>11</v>
      </c>
      <c r="X6" s="2" t="s">
        <v>11</v>
      </c>
      <c r="Y6" s="1"/>
      <c r="Z6" s="1"/>
      <c r="AA6" s="1">
        <f>COUNTIF(C6:X6, "б")</f>
        <v>14</v>
      </c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</row>
    <row r="7" spans="1:45" x14ac:dyDescent="0.25">
      <c r="A7" s="4">
        <v>5</v>
      </c>
      <c r="B7" s="4" t="s">
        <v>15</v>
      </c>
      <c r="C7" s="2" t="s">
        <v>11</v>
      </c>
      <c r="D7" s="2" t="s">
        <v>10</v>
      </c>
      <c r="E7" s="2" t="s">
        <v>10</v>
      </c>
      <c r="F7" s="2" t="s">
        <v>10</v>
      </c>
      <c r="G7" s="2" t="s">
        <v>10</v>
      </c>
      <c r="H7" s="2" t="s">
        <v>10</v>
      </c>
      <c r="I7" s="2" t="s">
        <v>10</v>
      </c>
      <c r="J7" s="2" t="s">
        <v>11</v>
      </c>
      <c r="K7" s="2" t="s">
        <v>10</v>
      </c>
      <c r="L7" s="2" t="s">
        <v>11</v>
      </c>
      <c r="M7" s="2" t="s">
        <v>10</v>
      </c>
      <c r="N7" s="2" t="s">
        <v>10</v>
      </c>
      <c r="O7" s="2" t="s">
        <v>10</v>
      </c>
      <c r="P7" s="2" t="s">
        <v>10</v>
      </c>
      <c r="Q7" s="2" t="s">
        <v>11</v>
      </c>
      <c r="R7" s="2" t="s">
        <v>10</v>
      </c>
      <c r="S7" s="2" t="s">
        <v>10</v>
      </c>
      <c r="T7" s="2" t="s">
        <v>11</v>
      </c>
      <c r="U7" s="2" t="s">
        <v>11</v>
      </c>
      <c r="V7" s="2" t="s">
        <v>10</v>
      </c>
      <c r="W7" s="2" t="s">
        <v>11</v>
      </c>
      <c r="X7" s="2" t="s">
        <v>11</v>
      </c>
      <c r="Y7" s="1"/>
      <c r="Z7" s="1"/>
      <c r="AA7" s="1">
        <f>COUNTIF(C7:X7, "б")</f>
        <v>8</v>
      </c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</row>
    <row r="8" spans="1:45" x14ac:dyDescent="0.25">
      <c r="A8" s="4">
        <v>6</v>
      </c>
      <c r="B8" s="4" t="s">
        <v>16</v>
      </c>
      <c r="C8" s="2" t="s">
        <v>11</v>
      </c>
      <c r="D8" s="2" t="s">
        <v>10</v>
      </c>
      <c r="E8" s="2" t="s">
        <v>11</v>
      </c>
      <c r="F8" s="2" t="s">
        <v>11</v>
      </c>
      <c r="G8" s="2" t="s">
        <v>11</v>
      </c>
      <c r="H8" s="2" t="s">
        <v>10</v>
      </c>
      <c r="I8" s="2" t="s">
        <v>10</v>
      </c>
      <c r="J8" s="2" t="s">
        <v>11</v>
      </c>
      <c r="K8" s="2" t="s">
        <v>10</v>
      </c>
      <c r="L8" s="2" t="s">
        <v>22</v>
      </c>
      <c r="M8" s="2" t="s">
        <v>10</v>
      </c>
      <c r="N8" s="2" t="s">
        <v>10</v>
      </c>
      <c r="O8" s="2" t="s">
        <v>11</v>
      </c>
      <c r="P8" s="2" t="s">
        <v>11</v>
      </c>
      <c r="Q8" s="2" t="s">
        <v>11</v>
      </c>
      <c r="R8" s="2" t="s">
        <v>11</v>
      </c>
      <c r="S8" s="2" t="s">
        <v>10</v>
      </c>
      <c r="T8" s="2" t="s">
        <v>11</v>
      </c>
      <c r="U8" s="2" t="s">
        <v>11</v>
      </c>
      <c r="V8" s="2" t="s">
        <v>10</v>
      </c>
      <c r="W8" s="2" t="s">
        <v>11</v>
      </c>
      <c r="X8" s="2" t="s">
        <v>11</v>
      </c>
      <c r="Y8" s="1"/>
      <c r="Z8" s="1"/>
      <c r="AA8" s="1">
        <f>COUNTIF(C8:X8, "б")</f>
        <v>13</v>
      </c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</row>
    <row r="9" spans="1:45" x14ac:dyDescent="0.25">
      <c r="A9" s="4">
        <v>7</v>
      </c>
      <c r="B9" s="4" t="s">
        <v>17</v>
      </c>
      <c r="C9" s="2" t="s">
        <v>11</v>
      </c>
      <c r="D9" s="2" t="s">
        <v>11</v>
      </c>
      <c r="E9" s="2" t="s">
        <v>11</v>
      </c>
      <c r="F9" s="2" t="s">
        <v>11</v>
      </c>
      <c r="G9" s="2" t="s">
        <v>11</v>
      </c>
      <c r="H9" s="2" t="s">
        <v>11</v>
      </c>
      <c r="I9" s="2" t="s">
        <v>11</v>
      </c>
      <c r="J9" s="2" t="s">
        <v>11</v>
      </c>
      <c r="K9" s="2" t="s">
        <v>11</v>
      </c>
      <c r="L9" s="2" t="s">
        <v>11</v>
      </c>
      <c r="M9" s="2" t="s">
        <v>11</v>
      </c>
      <c r="N9" s="2" t="s">
        <v>11</v>
      </c>
      <c r="O9" s="2" t="s">
        <v>11</v>
      </c>
      <c r="P9" s="2" t="s">
        <v>11</v>
      </c>
      <c r="Q9" s="2" t="s">
        <v>11</v>
      </c>
      <c r="R9" s="2" t="s">
        <v>11</v>
      </c>
      <c r="S9" s="2" t="s">
        <v>11</v>
      </c>
      <c r="T9" s="2" t="s">
        <v>11</v>
      </c>
      <c r="U9" s="2" t="s">
        <v>11</v>
      </c>
      <c r="V9" s="2" t="s">
        <v>11</v>
      </c>
      <c r="W9" s="2" t="s">
        <v>11</v>
      </c>
      <c r="X9" s="2" t="s">
        <v>11</v>
      </c>
      <c r="Y9" s="1"/>
      <c r="Z9" s="1"/>
      <c r="AA9" s="1">
        <f>COUNTIF(C9:X9, "б")</f>
        <v>22</v>
      </c>
      <c r="AB9" s="1"/>
      <c r="AC9" s="1" t="s">
        <v>23</v>
      </c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</row>
    <row r="10" spans="1:45" x14ac:dyDescent="0.25">
      <c r="A10" s="4">
        <v>8</v>
      </c>
      <c r="B10" s="4" t="s">
        <v>0</v>
      </c>
      <c r="C10" s="2" t="s">
        <v>11</v>
      </c>
      <c r="D10" s="2" t="s">
        <v>11</v>
      </c>
      <c r="E10" s="2" t="s">
        <v>11</v>
      </c>
      <c r="F10" s="2" t="s">
        <v>10</v>
      </c>
      <c r="G10" s="2" t="s">
        <v>10</v>
      </c>
      <c r="H10" s="2" t="s">
        <v>10</v>
      </c>
      <c r="I10" s="2" t="s">
        <v>10</v>
      </c>
      <c r="J10" s="2" t="s">
        <v>10</v>
      </c>
      <c r="K10" s="2" t="s">
        <v>10</v>
      </c>
      <c r="L10" s="2" t="s">
        <v>22</v>
      </c>
      <c r="M10" s="2" t="s">
        <v>11</v>
      </c>
      <c r="N10" s="2" t="s">
        <v>11</v>
      </c>
      <c r="O10" s="2" t="s">
        <v>11</v>
      </c>
      <c r="P10" s="2" t="s">
        <v>10</v>
      </c>
      <c r="Q10" s="2" t="s">
        <v>11</v>
      </c>
      <c r="R10" s="2" t="s">
        <v>10</v>
      </c>
      <c r="S10" s="2" t="s">
        <v>11</v>
      </c>
      <c r="T10" s="2" t="s">
        <v>11</v>
      </c>
      <c r="U10" s="2" t="s">
        <v>11</v>
      </c>
      <c r="V10" s="2" t="s">
        <v>11</v>
      </c>
      <c r="W10" s="2" t="s">
        <v>11</v>
      </c>
      <c r="X10" s="2" t="s">
        <v>11</v>
      </c>
      <c r="Y10" s="1"/>
      <c r="Z10" s="1"/>
      <c r="AA10" s="1">
        <f>COUNTIF(C10:X10, "б")</f>
        <v>13</v>
      </c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</row>
    <row r="11" spans="1:45" x14ac:dyDescent="0.25">
      <c r="A11" s="4">
        <v>9</v>
      </c>
      <c r="B11" s="4" t="s">
        <v>21</v>
      </c>
      <c r="C11" s="2" t="s">
        <v>10</v>
      </c>
      <c r="D11" s="2" t="s">
        <v>10</v>
      </c>
      <c r="E11" s="2" t="s">
        <v>10</v>
      </c>
      <c r="F11" s="2" t="s">
        <v>10</v>
      </c>
      <c r="G11" s="2" t="s">
        <v>10</v>
      </c>
      <c r="H11" s="2" t="s">
        <v>10</v>
      </c>
      <c r="I11" s="2" t="s">
        <v>10</v>
      </c>
      <c r="J11" s="2" t="s">
        <v>10</v>
      </c>
      <c r="K11" s="2" t="s">
        <v>10</v>
      </c>
      <c r="L11" s="2" t="s">
        <v>22</v>
      </c>
      <c r="M11" s="2" t="s">
        <v>10</v>
      </c>
      <c r="N11" s="2" t="s">
        <v>10</v>
      </c>
      <c r="O11" s="2" t="s">
        <v>10</v>
      </c>
      <c r="P11" s="2" t="s">
        <v>10</v>
      </c>
      <c r="Q11" s="2" t="s">
        <v>10</v>
      </c>
      <c r="R11" s="2" t="s">
        <v>10</v>
      </c>
      <c r="S11" s="2" t="s">
        <v>10</v>
      </c>
      <c r="T11" s="2" t="s">
        <v>10</v>
      </c>
      <c r="U11" s="2" t="s">
        <v>10</v>
      </c>
      <c r="V11" s="2" t="s">
        <v>10</v>
      </c>
      <c r="W11" s="2" t="s">
        <v>10</v>
      </c>
      <c r="X11" s="2" t="s">
        <v>10</v>
      </c>
      <c r="Y11" s="1"/>
      <c r="Z11" s="1"/>
      <c r="AA11" s="1">
        <f>COUNTIF(C11:X11, "б")</f>
        <v>0</v>
      </c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</row>
    <row r="12" spans="1:45" x14ac:dyDescent="0.25">
      <c r="A12" s="4">
        <v>10</v>
      </c>
      <c r="B12" s="4" t="s">
        <v>9</v>
      </c>
      <c r="C12" s="2" t="s">
        <v>11</v>
      </c>
      <c r="D12" s="2" t="s">
        <v>11</v>
      </c>
      <c r="E12" s="2" t="s">
        <v>11</v>
      </c>
      <c r="F12" s="2" t="s">
        <v>10</v>
      </c>
      <c r="G12" s="2" t="s">
        <v>11</v>
      </c>
      <c r="H12" s="2" t="s">
        <v>11</v>
      </c>
      <c r="I12" s="2" t="s">
        <v>10</v>
      </c>
      <c r="J12" s="2" t="s">
        <v>11</v>
      </c>
      <c r="K12" s="2" t="s">
        <v>11</v>
      </c>
      <c r="L12" s="2" t="s">
        <v>11</v>
      </c>
      <c r="M12" s="2" t="s">
        <v>10</v>
      </c>
      <c r="N12" s="2" t="s">
        <v>10</v>
      </c>
      <c r="O12" s="2" t="s">
        <v>10</v>
      </c>
      <c r="P12" s="2" t="s">
        <v>10</v>
      </c>
      <c r="Q12" s="2" t="s">
        <v>10</v>
      </c>
      <c r="R12" s="2" t="s">
        <v>10</v>
      </c>
      <c r="S12" s="2" t="s">
        <v>11</v>
      </c>
      <c r="T12" s="2" t="s">
        <v>11</v>
      </c>
      <c r="U12" s="2" t="s">
        <v>11</v>
      </c>
      <c r="V12" s="2" t="s">
        <v>10</v>
      </c>
      <c r="W12" s="2" t="s">
        <v>11</v>
      </c>
      <c r="X12" s="2" t="s">
        <v>11</v>
      </c>
      <c r="Y12" s="1"/>
      <c r="Z12" s="1"/>
      <c r="AA12" s="1">
        <f>COUNTIF(C12:X12, "б")</f>
        <v>13</v>
      </c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</row>
    <row r="13" spans="1:45" x14ac:dyDescent="0.25">
      <c r="A13" s="4">
        <v>11</v>
      </c>
      <c r="B13" s="4" t="s">
        <v>5</v>
      </c>
      <c r="C13" s="2" t="s">
        <v>11</v>
      </c>
      <c r="D13" s="2" t="s">
        <v>11</v>
      </c>
      <c r="E13" s="2" t="s">
        <v>10</v>
      </c>
      <c r="F13" s="2" t="s">
        <v>11</v>
      </c>
      <c r="G13" s="2" t="s">
        <v>10</v>
      </c>
      <c r="H13" s="2" t="s">
        <v>10</v>
      </c>
      <c r="I13" s="2" t="s">
        <v>10</v>
      </c>
      <c r="J13" s="2" t="s">
        <v>11</v>
      </c>
      <c r="K13" s="2" t="s">
        <v>11</v>
      </c>
      <c r="L13" s="2" t="s">
        <v>11</v>
      </c>
      <c r="M13" s="2" t="s">
        <v>10</v>
      </c>
      <c r="N13" s="2" t="s">
        <v>10</v>
      </c>
      <c r="O13" s="2" t="s">
        <v>10</v>
      </c>
      <c r="P13" s="2" t="s">
        <v>10</v>
      </c>
      <c r="Q13" s="2" t="s">
        <v>10</v>
      </c>
      <c r="R13" s="2" t="s">
        <v>10</v>
      </c>
      <c r="S13" s="2" t="s">
        <v>10</v>
      </c>
      <c r="T13" s="2" t="s">
        <v>10</v>
      </c>
      <c r="U13" s="2" t="s">
        <v>10</v>
      </c>
      <c r="V13" s="2" t="s">
        <v>10</v>
      </c>
      <c r="W13" s="2" t="s">
        <v>10</v>
      </c>
      <c r="X13" s="2" t="s">
        <v>10</v>
      </c>
      <c r="Y13" s="1"/>
      <c r="Z13" s="1"/>
      <c r="AA13" s="1">
        <f>COUNTIF(C13:X13, "б")</f>
        <v>6</v>
      </c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</row>
    <row r="14" spans="1:45" x14ac:dyDescent="0.25">
      <c r="A14" s="4">
        <v>12</v>
      </c>
      <c r="B14" s="4" t="s">
        <v>6</v>
      </c>
      <c r="C14" s="2" t="s">
        <v>11</v>
      </c>
      <c r="D14" s="2" t="s">
        <v>11</v>
      </c>
      <c r="E14" s="2" t="s">
        <v>11</v>
      </c>
      <c r="F14" s="2" t="s">
        <v>10</v>
      </c>
      <c r="G14" s="2" t="s">
        <v>11</v>
      </c>
      <c r="H14" s="2" t="s">
        <v>11</v>
      </c>
      <c r="I14" s="2" t="s">
        <v>22</v>
      </c>
      <c r="J14" s="2" t="s">
        <v>22</v>
      </c>
      <c r="K14" s="2" t="s">
        <v>22</v>
      </c>
      <c r="L14" s="2" t="s">
        <v>22</v>
      </c>
      <c r="M14" s="2" t="s">
        <v>11</v>
      </c>
      <c r="N14" s="2" t="s">
        <v>10</v>
      </c>
      <c r="O14" s="2" t="s">
        <v>11</v>
      </c>
      <c r="P14" s="2" t="s">
        <v>11</v>
      </c>
      <c r="Q14" s="2" t="s">
        <v>10</v>
      </c>
      <c r="R14" s="2" t="s">
        <v>10</v>
      </c>
      <c r="S14" s="2" t="s">
        <v>11</v>
      </c>
      <c r="T14" s="2" t="s">
        <v>10</v>
      </c>
      <c r="U14" s="2" t="s">
        <v>11</v>
      </c>
      <c r="V14" s="2" t="s">
        <v>10</v>
      </c>
      <c r="W14" s="2" t="s">
        <v>10</v>
      </c>
      <c r="X14" s="2" t="s">
        <v>10</v>
      </c>
      <c r="Y14" s="1"/>
      <c r="Z14" s="1"/>
      <c r="AA14" s="1">
        <f>COUNTIF(C14:X14, "б")</f>
        <v>10</v>
      </c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</row>
    <row r="15" spans="1:45" x14ac:dyDescent="0.25">
      <c r="A15" s="4">
        <v>13</v>
      </c>
      <c r="B15" s="4" t="s">
        <v>7</v>
      </c>
      <c r="C15" s="2" t="s">
        <v>11</v>
      </c>
      <c r="D15" s="2" t="s">
        <v>10</v>
      </c>
      <c r="E15" s="2" t="s">
        <v>11</v>
      </c>
      <c r="F15" s="2" t="s">
        <v>10</v>
      </c>
      <c r="G15" s="2" t="s">
        <v>10</v>
      </c>
      <c r="H15" s="2" t="s">
        <v>10</v>
      </c>
      <c r="I15" s="2" t="s">
        <v>10</v>
      </c>
      <c r="J15" s="2" t="s">
        <v>11</v>
      </c>
      <c r="K15" s="2" t="s">
        <v>11</v>
      </c>
      <c r="L15" s="2" t="s">
        <v>11</v>
      </c>
      <c r="M15" s="2" t="s">
        <v>10</v>
      </c>
      <c r="N15" s="2" t="s">
        <v>11</v>
      </c>
      <c r="O15" s="2" t="s">
        <v>11</v>
      </c>
      <c r="P15" s="2" t="s">
        <v>10</v>
      </c>
      <c r="Q15" s="2" t="s">
        <v>10</v>
      </c>
      <c r="R15" s="2" t="s">
        <v>11</v>
      </c>
      <c r="S15" s="2" t="s">
        <v>10</v>
      </c>
      <c r="T15" s="2" t="s">
        <v>10</v>
      </c>
      <c r="U15" s="2" t="s">
        <v>11</v>
      </c>
      <c r="V15" s="2" t="s">
        <v>10</v>
      </c>
      <c r="W15" s="2" t="s">
        <v>11</v>
      </c>
      <c r="X15" s="2" t="s">
        <v>10</v>
      </c>
      <c r="Y15" s="1"/>
      <c r="Z15" s="1"/>
      <c r="AA15" s="1">
        <f>COUNTIF(C15:X15, "б")</f>
        <v>10</v>
      </c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</row>
    <row r="16" spans="1:45" x14ac:dyDescent="0.25">
      <c r="A16" s="4">
        <v>14</v>
      </c>
      <c r="B16" s="4" t="s">
        <v>19</v>
      </c>
      <c r="C16" s="2" t="s">
        <v>11</v>
      </c>
      <c r="D16" s="2" t="s">
        <v>22</v>
      </c>
      <c r="E16" s="2" t="s">
        <v>11</v>
      </c>
      <c r="F16" s="2" t="s">
        <v>10</v>
      </c>
      <c r="G16" s="2" t="s">
        <v>10</v>
      </c>
      <c r="H16" s="2" t="s">
        <v>10</v>
      </c>
      <c r="I16" s="2" t="s">
        <v>10</v>
      </c>
      <c r="J16" s="2" t="s">
        <v>11</v>
      </c>
      <c r="K16" s="2" t="s">
        <v>10</v>
      </c>
      <c r="L16" s="2" t="s">
        <v>11</v>
      </c>
      <c r="M16" s="2" t="s">
        <v>10</v>
      </c>
      <c r="N16" s="2" t="s">
        <v>10</v>
      </c>
      <c r="O16" s="2" t="s">
        <v>10</v>
      </c>
      <c r="P16" s="2" t="s">
        <v>10</v>
      </c>
      <c r="Q16" s="2" t="s">
        <v>10</v>
      </c>
      <c r="R16" s="2" t="s">
        <v>11</v>
      </c>
      <c r="S16" s="2" t="s">
        <v>10</v>
      </c>
      <c r="T16" s="2" t="s">
        <v>10</v>
      </c>
      <c r="U16" s="2" t="s">
        <v>11</v>
      </c>
      <c r="V16" s="2" t="s">
        <v>10</v>
      </c>
      <c r="W16" s="2" t="s">
        <v>11</v>
      </c>
      <c r="X16" s="2" t="s">
        <v>11</v>
      </c>
      <c r="Y16" s="1"/>
      <c r="Z16" s="1"/>
      <c r="AA16" s="1">
        <f>COUNTIF(C16:X16, "б")</f>
        <v>8</v>
      </c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</row>
    <row r="17" spans="1:45" x14ac:dyDescent="0.25">
      <c r="A17" s="4">
        <v>15</v>
      </c>
      <c r="B17" s="4" t="s">
        <v>2</v>
      </c>
      <c r="C17" s="2" t="s">
        <v>11</v>
      </c>
      <c r="D17" s="2" t="s">
        <v>11</v>
      </c>
      <c r="E17" s="2" t="s">
        <v>11</v>
      </c>
      <c r="F17" s="2" t="s">
        <v>11</v>
      </c>
      <c r="G17" s="2" t="s">
        <v>11</v>
      </c>
      <c r="H17" s="2" t="s">
        <v>10</v>
      </c>
      <c r="I17" s="2" t="s">
        <v>11</v>
      </c>
      <c r="J17" s="2" t="s">
        <v>11</v>
      </c>
      <c r="K17" s="2" t="s">
        <v>11</v>
      </c>
      <c r="L17" s="2" t="s">
        <v>11</v>
      </c>
      <c r="M17" s="2" t="s">
        <v>10</v>
      </c>
      <c r="N17" s="2" t="s">
        <v>11</v>
      </c>
      <c r="O17" s="2" t="s">
        <v>11</v>
      </c>
      <c r="P17" s="2" t="s">
        <v>10</v>
      </c>
      <c r="Q17" s="2" t="s">
        <v>11</v>
      </c>
      <c r="R17" s="2" t="s">
        <v>11</v>
      </c>
      <c r="S17" s="2" t="s">
        <v>11</v>
      </c>
      <c r="T17" s="2" t="s">
        <v>11</v>
      </c>
      <c r="U17" s="2" t="s">
        <v>11</v>
      </c>
      <c r="V17" s="2" t="s">
        <v>10</v>
      </c>
      <c r="W17" s="2" t="s">
        <v>11</v>
      </c>
      <c r="X17" s="2" t="s">
        <v>11</v>
      </c>
      <c r="Y17" s="1"/>
      <c r="Z17" s="1"/>
      <c r="AA17" s="1">
        <f>COUNTIF(C17:X17, "б")</f>
        <v>18</v>
      </c>
      <c r="AB17" s="1"/>
      <c r="AC17" s="1" t="s">
        <v>23</v>
      </c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</row>
    <row r="18" spans="1:45" x14ac:dyDescent="0.25">
      <c r="A18" s="4">
        <v>16</v>
      </c>
      <c r="B18" s="4" t="s">
        <v>18</v>
      </c>
      <c r="C18" s="2" t="s">
        <v>11</v>
      </c>
      <c r="D18" s="2" t="s">
        <v>11</v>
      </c>
      <c r="E18" s="2" t="s">
        <v>11</v>
      </c>
      <c r="F18" s="2" t="s">
        <v>11</v>
      </c>
      <c r="G18" s="2" t="s">
        <v>11</v>
      </c>
      <c r="H18" s="2" t="s">
        <v>11</v>
      </c>
      <c r="I18" s="2" t="s">
        <v>11</v>
      </c>
      <c r="J18" s="2" t="s">
        <v>11</v>
      </c>
      <c r="K18" s="2" t="s">
        <v>11</v>
      </c>
      <c r="L18" s="2" t="s">
        <v>11</v>
      </c>
      <c r="M18" s="2" t="s">
        <v>11</v>
      </c>
      <c r="N18" s="2" t="s">
        <v>11</v>
      </c>
      <c r="O18" s="2" t="s">
        <v>11</v>
      </c>
      <c r="P18" s="2" t="s">
        <v>11</v>
      </c>
      <c r="Q18" s="2" t="s">
        <v>22</v>
      </c>
      <c r="R18" s="2" t="s">
        <v>11</v>
      </c>
      <c r="S18" s="2" t="s">
        <v>11</v>
      </c>
      <c r="T18" s="2" t="s">
        <v>11</v>
      </c>
      <c r="U18" s="2" t="s">
        <v>11</v>
      </c>
      <c r="V18" s="2" t="s">
        <v>11</v>
      </c>
      <c r="W18" s="2" t="s">
        <v>11</v>
      </c>
      <c r="X18" s="2" t="s">
        <v>11</v>
      </c>
      <c r="Y18" s="1"/>
      <c r="Z18" s="1"/>
      <c r="AA18" s="1">
        <f>COUNTIF(C18:X18, "б")</f>
        <v>21</v>
      </c>
      <c r="AB18" s="1"/>
      <c r="AC18" s="1" t="s">
        <v>23</v>
      </c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</row>
    <row r="19" spans="1:45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</row>
    <row r="20" spans="1:45" x14ac:dyDescent="0.25">
      <c r="A20" s="1"/>
      <c r="B20" s="8" t="s">
        <v>13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</row>
    <row r="21" spans="1:45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</row>
    <row r="22" spans="1:45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</row>
    <row r="23" spans="1:45" x14ac:dyDescent="0.25">
      <c r="A23" s="1"/>
      <c r="B23" s="1"/>
      <c r="C23" s="1">
        <f t="shared" ref="C23:X23" si="0">COUNTIF(C3:C18,"б")</f>
        <v>15</v>
      </c>
      <c r="D23" s="1">
        <f t="shared" si="0"/>
        <v>10</v>
      </c>
      <c r="E23" s="1">
        <f t="shared" si="0"/>
        <v>13</v>
      </c>
      <c r="F23" s="1">
        <f t="shared" si="0"/>
        <v>7</v>
      </c>
      <c r="G23" s="1">
        <f t="shared" si="0"/>
        <v>8</v>
      </c>
      <c r="H23" s="1">
        <f t="shared" si="0"/>
        <v>5</v>
      </c>
      <c r="I23" s="1">
        <f t="shared" si="0"/>
        <v>4</v>
      </c>
      <c r="J23" s="1">
        <f t="shared" si="0"/>
        <v>11</v>
      </c>
      <c r="K23" s="1">
        <f t="shared" si="0"/>
        <v>9</v>
      </c>
      <c r="L23" s="1">
        <f t="shared" si="0"/>
        <v>9</v>
      </c>
      <c r="M23" s="1">
        <f t="shared" si="0"/>
        <v>4</v>
      </c>
      <c r="N23" s="1">
        <f t="shared" si="0"/>
        <v>6</v>
      </c>
      <c r="O23" s="1">
        <f t="shared" si="0"/>
        <v>8</v>
      </c>
      <c r="P23" s="1">
        <f t="shared" si="0"/>
        <v>4</v>
      </c>
      <c r="Q23" s="1">
        <f t="shared" si="0"/>
        <v>5</v>
      </c>
      <c r="R23" s="1">
        <f t="shared" si="0"/>
        <v>9</v>
      </c>
      <c r="S23" s="1">
        <f t="shared" si="0"/>
        <v>8</v>
      </c>
      <c r="T23" s="1">
        <f t="shared" si="0"/>
        <v>8</v>
      </c>
      <c r="U23" s="1">
        <f t="shared" si="0"/>
        <v>13</v>
      </c>
      <c r="V23" s="1">
        <f t="shared" si="0"/>
        <v>5</v>
      </c>
      <c r="W23" s="1">
        <f t="shared" si="0"/>
        <v>12</v>
      </c>
      <c r="X23" s="1">
        <f t="shared" si="0"/>
        <v>10</v>
      </c>
      <c r="Y23" s="1"/>
      <c r="Z23" s="1"/>
      <c r="AA23" s="1">
        <f>COUNTIF(C23:X23, "&gt;0")</f>
        <v>22</v>
      </c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</row>
    <row r="24" spans="1:45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</row>
    <row r="25" spans="1:45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</row>
    <row r="26" spans="1:45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</row>
    <row r="27" spans="1:45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</row>
    <row r="28" spans="1:45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</row>
    <row r="29" spans="1:45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</row>
    <row r="30" spans="1:45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</row>
    <row r="31" spans="1:45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</row>
  </sheetData>
  <sortState ref="B3:B14">
    <sortCondition ref="B3"/>
  </sortState>
  <hyperlinks>
    <hyperlink ref="B20" r:id="rId1"/>
  </hyperlinks>
  <pageMargins left="0.7" right="0.7" top="0.75" bottom="0.75" header="0.3" footer="0.3"/>
  <pageSetup paperSize="9" orientation="portrait" verticalDpi="0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Посещаемость</vt:lpstr>
    </vt:vector>
  </TitlesOfParts>
  <Company>RUT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Сафронов А И</dc:creator>
  <cp:lastModifiedBy>Антон Сафронов</cp:lastModifiedBy>
  <dcterms:created xsi:type="dcterms:W3CDTF">2021-09-07T15:33:57Z</dcterms:created>
  <dcterms:modified xsi:type="dcterms:W3CDTF">2024-04-26T22:41:36Z</dcterms:modified>
</cp:coreProperties>
</file>